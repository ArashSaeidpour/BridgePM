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016" codeName="{8C4F1C90-05EB-6A55-5F09-09C24B55AC0B}"/>
  <workbookPr filterPrivacy="1" codeName="ThisWorkbook"/>
  <mc:AlternateContent xmlns:mc="http://schemas.openxmlformats.org/markup-compatibility/2006">
    <mc:Choice Requires="x15">
      <x15ac:absPath xmlns:x15ac="http://schemas.microsoft.com/office/spreadsheetml/2010/11/ac" url="/Users/test/Desktop/BridgePM/"/>
    </mc:Choice>
  </mc:AlternateContent>
  <bookViews>
    <workbookView xWindow="-33520" yWindow="2260" windowWidth="28720" windowHeight="16320"/>
  </bookViews>
  <sheets>
    <sheet name="Sheet1" sheetId="1" r:id="rId1"/>
    <sheet name="Sheet2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9" i="1" l="1"/>
  <c r="B6" i="1"/>
  <c r="B109" i="1"/>
  <c r="C9" i="1"/>
  <c r="B9" i="1"/>
  <c r="C1" i="1"/>
  <c r="B75" i="1"/>
  <c r="C75" i="1"/>
  <c r="C22" i="1"/>
  <c r="C21" i="1"/>
  <c r="C107" i="1"/>
  <c r="C106" i="1"/>
  <c r="B107" i="1"/>
  <c r="B106" i="1"/>
  <c r="B22" i="1"/>
  <c r="B21" i="1"/>
  <c r="B148" i="1"/>
  <c r="C149" i="1"/>
  <c r="B149" i="1"/>
  <c r="C25" i="1"/>
  <c r="C26" i="1"/>
  <c r="C27" i="1"/>
  <c r="C28" i="1"/>
  <c r="C29" i="1"/>
  <c r="C30" i="1"/>
  <c r="B30" i="1"/>
  <c r="B29" i="1"/>
  <c r="B28" i="1"/>
  <c r="B27" i="1"/>
  <c r="B26" i="1"/>
  <c r="B25" i="1"/>
  <c r="C148" i="1"/>
  <c r="C4" i="1"/>
  <c r="C3" i="1"/>
  <c r="C2" i="1"/>
</calcChain>
</file>

<file path=xl/sharedStrings.xml><?xml version="1.0" encoding="utf-8"?>
<sst xmlns="http://schemas.openxmlformats.org/spreadsheetml/2006/main" count="174" uniqueCount="164">
  <si>
    <t>Column Division</t>
  </si>
  <si>
    <t>Deck Divisions</t>
  </si>
  <si>
    <t>Number of Girders</t>
  </si>
  <si>
    <t>Contact element Switch (1:contact, 0:Zerolength)</t>
  </si>
  <si>
    <t>Start Node</t>
  </si>
  <si>
    <t>Start element</t>
  </si>
  <si>
    <t>Counter</t>
  </si>
  <si>
    <t>Damping Range Counter</t>
  </si>
  <si>
    <t>Number of spans</t>
  </si>
  <si>
    <t>Contact element normal direction</t>
  </si>
  <si>
    <t>contact elements mu</t>
  </si>
  <si>
    <t>contact elements Kn</t>
  </si>
  <si>
    <t>Contact elements Kt</t>
  </si>
  <si>
    <t>Bearing element material in transverse direction</t>
  </si>
  <si>
    <t>Bearing element material in vertical direction</t>
  </si>
  <si>
    <t>Elastomer Bearing Rotational Stiffness</t>
  </si>
  <si>
    <t>Dowel Fix Gap</t>
  </si>
  <si>
    <t>Dowel Expansion Gap</t>
  </si>
  <si>
    <t>Number of Piles Under Abutment</t>
  </si>
  <si>
    <t>Transverse Steel Density</t>
  </si>
  <si>
    <t>epscuc(unconfined yield)</t>
  </si>
  <si>
    <t>epsuuc(unconfined crush)</t>
  </si>
  <si>
    <t>epsuucc(confined crush)</t>
  </si>
  <si>
    <t>strain hardening ratio</t>
  </si>
  <si>
    <t>Column Cover(m)</t>
  </si>
  <si>
    <t>Column- Number of long. bars</t>
  </si>
  <si>
    <t>Column - # Radial divisions in core</t>
  </si>
  <si>
    <t>Column -# Theta divisions in core</t>
  </si>
  <si>
    <t>Column - #Radial divisions in the cover</t>
  </si>
  <si>
    <t>Column - # Theta divisions in the cover</t>
  </si>
  <si>
    <t>Column - Torsional stiffness</t>
  </si>
  <si>
    <t>Cap beam - Conc density (kg/m^3)</t>
  </si>
  <si>
    <t>Cap beam- #long. Bars in the top</t>
  </si>
  <si>
    <t>Cap beam- #long. Bars in the bottom</t>
  </si>
  <si>
    <t>Cap beam - #long. Bars in the intermediate</t>
  </si>
  <si>
    <t>Cap beam - #fibers in y direction</t>
  </si>
  <si>
    <t>Cap beam- #fibers in x direction</t>
  </si>
  <si>
    <t>Cap beam - Torsional stiffness</t>
  </si>
  <si>
    <t xml:space="preserve">windduration(1) </t>
  </si>
  <si>
    <t>Percent Air Switch (1 for max)</t>
  </si>
  <si>
    <t>db - Girder height + slab thickness(m)</t>
  </si>
  <si>
    <t>dg - Girder Height(m)</t>
  </si>
  <si>
    <t>prpx</t>
  </si>
  <si>
    <t>prpy</t>
  </si>
  <si>
    <t>prpz</t>
  </si>
  <si>
    <t>vupx</t>
  </si>
  <si>
    <t>vupy</t>
  </si>
  <si>
    <t>vupz</t>
  </si>
  <si>
    <t>viewwindow x1</t>
  </si>
  <si>
    <t>viewwindow x2</t>
  </si>
  <si>
    <t>viewwindow y1</t>
  </si>
  <si>
    <t>viewwindow y2</t>
  </si>
  <si>
    <t>display mode 1</t>
  </si>
  <si>
    <t>display magnification nodes</t>
  </si>
  <si>
    <t>display magnification response</t>
  </si>
  <si>
    <t>Static Numberer</t>
  </si>
  <si>
    <t>Static Constraint</t>
  </si>
  <si>
    <t>Static alphas</t>
  </si>
  <si>
    <t>Static alpham</t>
  </si>
  <si>
    <t>Static System</t>
  </si>
  <si>
    <t>Static test type</t>
  </si>
  <si>
    <t>Static test tolerance</t>
  </si>
  <si>
    <t>Static static iterations</t>
  </si>
  <si>
    <t>Static Integrator</t>
  </si>
  <si>
    <t>Static Increment</t>
  </si>
  <si>
    <t>Eigenmodes</t>
  </si>
  <si>
    <t>dynamic Zeta</t>
  </si>
  <si>
    <t>Dynamic test type</t>
  </si>
  <si>
    <t>Dynamic Test Tolerance</t>
  </si>
  <si>
    <t>Dynamic test #iterations</t>
  </si>
  <si>
    <t>Dynamic Numberer</t>
  </si>
  <si>
    <t>Dynamic Constraints</t>
  </si>
  <si>
    <t>DT</t>
  </si>
  <si>
    <t>Dynamic Algorithm</t>
  </si>
  <si>
    <t>Dynamic timestep reduction</t>
  </si>
  <si>
    <t>Data Directory Name</t>
  </si>
  <si>
    <t>Run1</t>
  </si>
  <si>
    <t>Run number</t>
  </si>
  <si>
    <t>Deck Width(m)</t>
  </si>
  <si>
    <t>Abutment Gap(m)</t>
  </si>
  <si>
    <t>#Columns(2,3,4,5)</t>
  </si>
  <si>
    <t>Cantilever Length(m) - outmost column to deck end point</t>
  </si>
  <si>
    <t>Left Abutment x location(m) - Bridge start point</t>
  </si>
  <si>
    <t>End Spans Length(m)</t>
  </si>
  <si>
    <t>Middle Spans Length(m)</t>
  </si>
  <si>
    <t>Column Height(m)</t>
  </si>
  <si>
    <t>End Span Unit weight(N/m)</t>
  </si>
  <si>
    <t>Middle span Unit Weight(N/m)</t>
  </si>
  <si>
    <t>Deck Elastic Modulus(N/m^2)</t>
  </si>
  <si>
    <t>Deck Torsional Moment of Inertia(m^4)</t>
  </si>
  <si>
    <t>End Spans Deck Area(m^2)</t>
  </si>
  <si>
    <t>Middle Spans Deck Area(m^2)</t>
  </si>
  <si>
    <t>End Spans Deck Iy(m^4)</t>
  </si>
  <si>
    <t>Middle Spans Deck Iy(m^4)</t>
  </si>
  <si>
    <t>End Spans Deck Iz(m^4)</t>
  </si>
  <si>
    <t>Middle Spans Deck Iz(m^4)</t>
  </si>
  <si>
    <t>Contact Element Cohesion(N/m^2)</t>
  </si>
  <si>
    <t>Elastomer Bearing Length(m)</t>
  </si>
  <si>
    <t>Elastomer Bearing Width(m)</t>
  </si>
  <si>
    <t>Elastomer initial stiffness(N/m^2)</t>
  </si>
  <si>
    <t>K1p Soil(N/m)</t>
  </si>
  <si>
    <t>Abutment Height(m)</t>
  </si>
  <si>
    <t>fpcuc(unconfined yield) - (N/m^2)</t>
  </si>
  <si>
    <t>fpcuuc(unconfined crush)(N/m^2)</t>
  </si>
  <si>
    <t>fyh ( yield strength of the steel hoops)(N/m^2)</t>
  </si>
  <si>
    <t>fpcuucc(confined crush)(N/m^2)</t>
  </si>
  <si>
    <t>fys- rebar yield strength(N/m^2)</t>
  </si>
  <si>
    <t>es- rebar elasticity</t>
  </si>
  <si>
    <t>Col Concrete Density(kg/m^3)</t>
  </si>
  <si>
    <t>Bent pile horizontal stiffness(N/m)</t>
  </si>
  <si>
    <t>soft material stiffness(N/m)</t>
  </si>
  <si>
    <t>Bent pile vertical stiffness(N/m)</t>
  </si>
  <si>
    <t>Bent Pile Rotational stiffness ( N.m/rad)</t>
  </si>
  <si>
    <t>Rigid Material stiffness(N/m)</t>
  </si>
  <si>
    <t>Column - Long. Bars diameter(m)</t>
  </si>
  <si>
    <t>Column - inner diamataer (only for hollow sections)(m)</t>
  </si>
  <si>
    <t>Cap Beam - Height(m)</t>
  </si>
  <si>
    <t>Cap beam - width(m)</t>
  </si>
  <si>
    <t>Cap beam - cover paralell to H(m)</t>
  </si>
  <si>
    <t>Cap beam - cover parallel to B(m)</t>
  </si>
  <si>
    <t>Cap beam - Diameter of long. bars in the top(m)</t>
  </si>
  <si>
    <t>Cap beam - diameter of the long bars in the bottom(m)</t>
  </si>
  <si>
    <t>Cap Beam- Diameter of the long. Bars in the intermediate(m)</t>
  </si>
  <si>
    <t>d - Average water depth over the fetch length(m)</t>
  </si>
  <si>
    <t>F - Fetch length(m)</t>
  </si>
  <si>
    <t>U3sec(m/s)</t>
  </si>
  <si>
    <t>ds - Water depth at or near the bridge(m)</t>
  </si>
  <si>
    <t>Rail height(m)</t>
  </si>
  <si>
    <t>Laoding DT(s)</t>
  </si>
  <si>
    <t>RCM</t>
  </si>
  <si>
    <t>Penalty</t>
  </si>
  <si>
    <t>AMD</t>
  </si>
  <si>
    <t>LoadControl</t>
  </si>
  <si>
    <t>EnergyIncr</t>
  </si>
  <si>
    <t>KrylovNewton</t>
  </si>
  <si>
    <t>Transformation</t>
  </si>
  <si>
    <t>NormDispIncr</t>
  </si>
  <si>
    <t>UmfPack</t>
  </si>
  <si>
    <t>Bent Section Switch (1=RC column, 2=PSC Pile)</t>
  </si>
  <si>
    <t>Strand Elastic Modulus</t>
  </si>
  <si>
    <t>Strand Fy</t>
  </si>
  <si>
    <t>Strand Hardening Ratio</t>
  </si>
  <si>
    <t>Strand Initail Strain</t>
  </si>
  <si>
    <t>PSC Initial Strain</t>
  </si>
  <si>
    <t>Max Hor Disp before Dynamic analysis stops</t>
  </si>
  <si>
    <t>Max Ver Disp before dynamic Analysis Stops</t>
  </si>
  <si>
    <t>Gap between spans(m)(from 179-0001-0)</t>
  </si>
  <si>
    <t>Elastomer Rot material in Z direction</t>
  </si>
  <si>
    <t>Bearing element material in rotation(x,y)</t>
  </si>
  <si>
    <t>AnchorShearYieldStrength</t>
  </si>
  <si>
    <t>AnchorShearDeltaYield</t>
  </si>
  <si>
    <t>AnchorShearUltimateStrength</t>
  </si>
  <si>
    <t>AnchorShearDeltaUltimate</t>
  </si>
  <si>
    <t>AnchorShearDeltaCollapse</t>
  </si>
  <si>
    <t>AnchorTensionYieldStrength</t>
  </si>
  <si>
    <t>AnchorTensileDeltaYield</t>
  </si>
  <si>
    <t>AnchorTensileUltimateStrength</t>
  </si>
  <si>
    <t>AnchorTensileDeltaUltimate</t>
  </si>
  <si>
    <t>AnchorTensileDeltaCollapse</t>
  </si>
  <si>
    <t>Pile Diameter(m)</t>
  </si>
  <si>
    <t>PSC Pile Type(diameter-inch)</t>
  </si>
  <si>
    <t>Pile size</t>
  </si>
  <si>
    <t>Total Prestressing force(N)</t>
  </si>
  <si>
    <t>S - Loading damping(manually determined, trial and error in matlab code, try to set the maximum on 1 in matlab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</si>
</sst>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0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/>
    </xf>
    <xf numFmtId="0" fontId="1" fillId="2" borderId="0" xfId="1"/>
    <xf numFmtId="0" fontId="1" fillId="2" borderId="0" xfId="1" applyAlignment="1">
      <alignment horizontal="center" vertical="center" wrapText="1"/>
    </xf>
  </cellXfs>
  <cellStyles count="2">
    <cellStyle name="Accent2" xfId="1" builtinId="33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153"/>
  <sheetViews>
    <sheetView tabSelected="1" workbookViewId="0">
      <pane xSplit="1" topLeftCell="B1" activePane="topRight" state="frozen"/>
      <selection pane="topRight" activeCell="C1" sqref="C1"/>
    </sheetView>
  </sheetViews>
  <sheetFormatPr baseColWidth="10" defaultColWidth="8.83203125" defaultRowHeight="15" x14ac:dyDescent="0.2"/>
  <cols>
    <col min="1" max="1" width="43.5" customWidth="1"/>
    <col min="2" max="2" width="15.5" style="1" customWidth="1"/>
    <col min="3" max="3" width="12" style="1" bestFit="1" customWidth="1"/>
    <col min="4" max="11" width="9.6640625" bestFit="1" customWidth="1"/>
    <col min="600" max="600" width="9.6640625" bestFit="1" customWidth="1"/>
    <col min="626" max="627" width="9.6640625" bestFit="1" customWidth="1"/>
  </cols>
  <sheetData>
    <row r="1" spans="1:3" x14ac:dyDescent="0.2">
      <c r="A1" s="2" t="s">
        <v>77</v>
      </c>
      <c r="B1" s="1">
        <v>1</v>
      </c>
      <c r="C1" s="1">
        <f>B1+1</f>
        <v>2</v>
      </c>
    </row>
    <row r="2" spans="1:3" x14ac:dyDescent="0.2">
      <c r="A2" s="2" t="s">
        <v>75</v>
      </c>
      <c r="B2" s="1" t="s">
        <v>76</v>
      </c>
      <c r="C2" s="1" t="str">
        <f>"Run"&amp;C1</f>
        <v>Run2</v>
      </c>
    </row>
    <row r="3" spans="1:3" x14ac:dyDescent="0.2">
      <c r="A3" s="2" t="s">
        <v>0</v>
      </c>
      <c r="B3" s="1">
        <v>5</v>
      </c>
      <c r="C3" s="1">
        <f>5</f>
        <v>5</v>
      </c>
    </row>
    <row r="4" spans="1:3" x14ac:dyDescent="0.2">
      <c r="A4" s="2" t="s">
        <v>1</v>
      </c>
      <c r="B4" s="1">
        <v>10</v>
      </c>
      <c r="C4" s="1">
        <f>10</f>
        <v>10</v>
      </c>
    </row>
    <row r="5" spans="1:3" x14ac:dyDescent="0.2">
      <c r="A5" s="2" t="s">
        <v>78</v>
      </c>
      <c r="B5" s="1">
        <v>12</v>
      </c>
      <c r="C5" s="1">
        <v>12</v>
      </c>
    </row>
    <row r="6" spans="1:3" x14ac:dyDescent="0.2">
      <c r="A6" s="2" t="s">
        <v>2</v>
      </c>
      <c r="B6" s="1">
        <f>IF(B5=12,7,14)</f>
        <v>7</v>
      </c>
      <c r="C6" s="1">
        <v>7</v>
      </c>
    </row>
    <row r="7" spans="1:3" x14ac:dyDescent="0.2">
      <c r="A7" s="2" t="s">
        <v>146</v>
      </c>
      <c r="B7" s="1">
        <v>0.1</v>
      </c>
      <c r="C7" s="1">
        <v>0.1</v>
      </c>
    </row>
    <row r="8" spans="1:3" x14ac:dyDescent="0.2">
      <c r="A8" s="2" t="s">
        <v>79</v>
      </c>
      <c r="B8" s="1">
        <v>0.1</v>
      </c>
      <c r="C8" s="1">
        <v>0.1</v>
      </c>
    </row>
    <row r="9" spans="1:3" x14ac:dyDescent="0.2">
      <c r="A9" s="2" t="s">
        <v>80</v>
      </c>
      <c r="B9" s="1">
        <f>IF(B5=12,4,8)</f>
        <v>4</v>
      </c>
      <c r="C9" s="1">
        <f t="shared" ref="C9:BN9" si="0">IF(C5=12,4,8)</f>
        <v>4</v>
      </c>
    </row>
    <row r="10" spans="1:3" x14ac:dyDescent="0.2">
      <c r="A10" s="2" t="s">
        <v>81</v>
      </c>
      <c r="B10" s="1">
        <v>0.6</v>
      </c>
      <c r="C10" s="1">
        <v>0.6</v>
      </c>
    </row>
    <row r="11" spans="1:3" x14ac:dyDescent="0.2">
      <c r="A11" s="2" t="s">
        <v>82</v>
      </c>
      <c r="B11" s="1">
        <v>0</v>
      </c>
      <c r="C11" s="1">
        <v>0</v>
      </c>
    </row>
    <row r="12" spans="1:3" x14ac:dyDescent="0.2">
      <c r="A12" s="2" t="s">
        <v>8</v>
      </c>
      <c r="B12" s="1">
        <v>3</v>
      </c>
      <c r="C12" s="1">
        <v>3</v>
      </c>
    </row>
    <row r="13" spans="1:3" x14ac:dyDescent="0.2">
      <c r="A13" s="2" t="s">
        <v>84</v>
      </c>
      <c r="B13" s="1">
        <v>9</v>
      </c>
      <c r="C13" s="1">
        <v>9</v>
      </c>
    </row>
    <row r="14" spans="1:3" x14ac:dyDescent="0.2">
      <c r="A14" s="2" t="s">
        <v>83</v>
      </c>
      <c r="B14" s="1">
        <v>8</v>
      </c>
      <c r="C14" s="1">
        <v>8</v>
      </c>
    </row>
    <row r="15" spans="1:3" x14ac:dyDescent="0.2">
      <c r="A15" s="2" t="s">
        <v>85</v>
      </c>
      <c r="B15" s="1">
        <v>3.33931656529538</v>
      </c>
      <c r="C15" s="1">
        <v>3.5339673065873201</v>
      </c>
    </row>
    <row r="16" spans="1:3" x14ac:dyDescent="0.2">
      <c r="A16" s="2" t="s">
        <v>3</v>
      </c>
      <c r="B16" s="1">
        <v>1</v>
      </c>
      <c r="C16" s="1">
        <v>1</v>
      </c>
    </row>
    <row r="17" spans="1:3" x14ac:dyDescent="0.2">
      <c r="A17" s="2" t="s">
        <v>4</v>
      </c>
      <c r="B17" s="1">
        <v>1</v>
      </c>
      <c r="C17" s="1">
        <v>1</v>
      </c>
    </row>
    <row r="18" spans="1:3" x14ac:dyDescent="0.2">
      <c r="A18" s="2" t="s">
        <v>5</v>
      </c>
      <c r="B18" s="1">
        <v>1</v>
      </c>
      <c r="C18" s="1">
        <v>1</v>
      </c>
    </row>
    <row r="19" spans="1:3" x14ac:dyDescent="0.2">
      <c r="A19" s="2" t="s">
        <v>6</v>
      </c>
      <c r="B19" s="1">
        <v>0</v>
      </c>
      <c r="C19" s="1">
        <v>0</v>
      </c>
    </row>
    <row r="20" spans="1:3" x14ac:dyDescent="0.2">
      <c r="A20" s="2" t="s">
        <v>7</v>
      </c>
      <c r="B20" s="1">
        <v>1</v>
      </c>
      <c r="C20" s="1">
        <v>1</v>
      </c>
    </row>
    <row r="21" spans="1:3" x14ac:dyDescent="0.2">
      <c r="A21" s="2" t="s">
        <v>86</v>
      </c>
      <c r="B21" s="1">
        <f>IF(B5=12,89418,178836)*B164</f>
        <v>0</v>
      </c>
      <c r="C21" s="1">
        <f>IF(C5=12,89418,178836)*C164</f>
        <v>0</v>
      </c>
    </row>
    <row r="22" spans="1:3" x14ac:dyDescent="0.2">
      <c r="A22" s="2" t="s">
        <v>87</v>
      </c>
      <c r="B22" s="1">
        <f>IF(B5=12,IF(B13&lt;=14,89418,IF(B13&gt;=18,120884,99729)),IF(B13&lt;=14,178830,IF(B13&gt;=18,241768,199459)))*B164</f>
        <v>0</v>
      </c>
      <c r="C22" s="1">
        <f>IF(C5=12,IF(C13&lt;=14,89418,IF(C13&gt;=18,120884,99729)),IF(C13&lt;=14,178830,IF(C13&gt;=18,241768,199459)))*C164</f>
        <v>0</v>
      </c>
    </row>
    <row r="23" spans="1:3" x14ac:dyDescent="0.2">
      <c r="A23" s="2" t="s">
        <v>88</v>
      </c>
      <c r="B23" s="1">
        <v>27800000000</v>
      </c>
      <c r="C23" s="1">
        <v>27800000000</v>
      </c>
    </row>
    <row r="24" spans="1:3" x14ac:dyDescent="0.2">
      <c r="A24" s="2" t="s">
        <v>89</v>
      </c>
      <c r="B24" s="1">
        <v>90000000000000</v>
      </c>
      <c r="C24" s="1">
        <v>90000000000000</v>
      </c>
    </row>
    <row r="25" spans="1:3" x14ac:dyDescent="0.2">
      <c r="A25" s="2" t="s">
        <v>90</v>
      </c>
      <c r="B25" s="1">
        <f>IF(B5=12,3.46,7.29)</f>
        <v>3.46</v>
      </c>
      <c r="C25" s="1">
        <f t="shared" ref="C25:BN25" si="1">IF(C5=12,3.46,7.29)</f>
        <v>3.46</v>
      </c>
    </row>
    <row r="26" spans="1:3" x14ac:dyDescent="0.2">
      <c r="A26" s="2" t="s">
        <v>91</v>
      </c>
      <c r="B26" s="1">
        <f>IF(B5=12,IF(B13&lt;=14,3.46,IF(B13&gt;=18,4.93,4.066)),IF(B13&lt;=14,7.29,IF(B13&gt;=18,9.858,8.13)))</f>
        <v>3.46</v>
      </c>
      <c r="C26" s="1">
        <f t="shared" ref="C26:BN26" si="2">IF(C5=12,IF(C13&lt;=14,3.46,IF(C13&gt;=18,4.93,4.066)),IF(C13&lt;=14,7.29,IF(C13&gt;=18,9.858,8.13)))</f>
        <v>3.46</v>
      </c>
    </row>
    <row r="27" spans="1:3" x14ac:dyDescent="0.2">
      <c r="A27" s="2" t="s">
        <v>92</v>
      </c>
      <c r="B27" s="1">
        <f>IF(B5=12,45.47,397.1)</f>
        <v>45.47</v>
      </c>
      <c r="C27" s="1">
        <f t="shared" ref="C27:BN27" si="3">IF(C5=12,45.47,397.1)</f>
        <v>45.47</v>
      </c>
    </row>
    <row r="28" spans="1:3" x14ac:dyDescent="0.2">
      <c r="A28" s="2" t="s">
        <v>93</v>
      </c>
      <c r="B28" s="1">
        <f>IF(B5=12,IF(B13&lt;=14,45.47,IF(B13&gt;=18,62.634,51.094)),IF(B13&lt;=14,397.1,IF(B13&gt;=18,513.15,453.34)))</f>
        <v>45.47</v>
      </c>
      <c r="C28" s="1">
        <f t="shared" ref="C28:BN28" si="4">IF(C5=12,IF(C13&lt;=14,45.47,IF(C13&gt;=18,62.634,51.094)),IF(C13&lt;=14,397.1,IF(C13&gt;=18,513.15,453.34)))</f>
        <v>45.47</v>
      </c>
    </row>
    <row r="29" spans="1:3" x14ac:dyDescent="0.2">
      <c r="A29" s="2" t="s">
        <v>94</v>
      </c>
      <c r="B29" s="1">
        <f>IF(B5=12,0.2397,0.479)</f>
        <v>0.2397</v>
      </c>
      <c r="C29" s="1">
        <f t="shared" ref="C29:BN29" si="5">IF(C5=12,0.2397,0.479)</f>
        <v>0.2397</v>
      </c>
    </row>
    <row r="30" spans="1:3" x14ac:dyDescent="0.2">
      <c r="A30" s="2" t="s">
        <v>95</v>
      </c>
      <c r="B30" s="1">
        <f>IF(B5=12,IF(B13&lt;=14,0.2397,IF(B13&gt;=18,0.894,0.452)),IF(B13&lt;=14,0.479,IF(B13&gt;=18,1.789,0.905)))</f>
        <v>0.2397</v>
      </c>
      <c r="C30" s="1">
        <f t="shared" ref="C30:BN30" si="6">IF(C5=12,IF(C13&lt;=14,0.2397,IF(C13&gt;=18,0.894,0.452)),IF(C13&lt;=14,0.479,IF(C13&gt;=18,1.789,0.905)))</f>
        <v>0.2397</v>
      </c>
    </row>
    <row r="31" spans="1:3" x14ac:dyDescent="0.2">
      <c r="A31" s="2" t="s">
        <v>96</v>
      </c>
      <c r="B31" s="1">
        <v>1E-3</v>
      </c>
      <c r="C31" s="1">
        <v>1E-3</v>
      </c>
    </row>
    <row r="32" spans="1:3" x14ac:dyDescent="0.2">
      <c r="A32" s="2" t="s">
        <v>9</v>
      </c>
      <c r="B32" s="1">
        <v>2</v>
      </c>
      <c r="C32" s="1">
        <v>2</v>
      </c>
    </row>
    <row r="33" spans="1:3" x14ac:dyDescent="0.2">
      <c r="A33" s="2" t="s">
        <v>10</v>
      </c>
      <c r="B33" s="1">
        <v>1</v>
      </c>
      <c r="C33" s="1">
        <v>1</v>
      </c>
    </row>
    <row r="34" spans="1:3" x14ac:dyDescent="0.2">
      <c r="A34" s="2" t="s">
        <v>11</v>
      </c>
      <c r="B34" s="1">
        <v>1000000000</v>
      </c>
      <c r="C34" s="1">
        <v>10000000000</v>
      </c>
    </row>
    <row r="35" spans="1:3" x14ac:dyDescent="0.2">
      <c r="A35" s="2" t="s">
        <v>12</v>
      </c>
      <c r="B35" s="1">
        <v>100000000</v>
      </c>
      <c r="C35" s="1">
        <v>100000000000</v>
      </c>
    </row>
    <row r="36" spans="1:3" x14ac:dyDescent="0.2">
      <c r="A36" s="2" t="s">
        <v>13</v>
      </c>
      <c r="B36" s="1">
        <v>11</v>
      </c>
      <c r="C36" s="1">
        <v>11</v>
      </c>
    </row>
    <row r="37" spans="1:3" x14ac:dyDescent="0.2">
      <c r="A37" s="2" t="s">
        <v>14</v>
      </c>
      <c r="B37" s="1">
        <v>62</v>
      </c>
      <c r="C37" s="1">
        <v>62</v>
      </c>
    </row>
    <row r="38" spans="1:3" x14ac:dyDescent="0.2">
      <c r="A38" s="2" t="s">
        <v>148</v>
      </c>
      <c r="B38" s="1">
        <v>27</v>
      </c>
      <c r="C38" s="1">
        <v>27</v>
      </c>
    </row>
    <row r="39" spans="1:3" x14ac:dyDescent="0.2">
      <c r="A39" s="2" t="s">
        <v>97</v>
      </c>
      <c r="B39" s="1">
        <v>0.40600000000000003</v>
      </c>
      <c r="C39" s="1">
        <v>0.40600000000000003</v>
      </c>
    </row>
    <row r="40" spans="1:3" x14ac:dyDescent="0.2">
      <c r="A40" s="2" t="s">
        <v>98</v>
      </c>
      <c r="B40" s="1">
        <v>0.152</v>
      </c>
      <c r="C40" s="1">
        <v>0.152</v>
      </c>
    </row>
    <row r="41" spans="1:3" x14ac:dyDescent="0.2">
      <c r="A41" s="2" t="s">
        <v>99</v>
      </c>
      <c r="B41" s="1">
        <v>110204068.93258099</v>
      </c>
      <c r="C41" s="1">
        <v>71352999.466033697</v>
      </c>
    </row>
    <row r="42" spans="1:3" x14ac:dyDescent="0.2">
      <c r="A42" s="2" t="s">
        <v>15</v>
      </c>
      <c r="B42" s="1">
        <v>110204068.93258099</v>
      </c>
      <c r="C42" s="1">
        <v>71352999.466033697</v>
      </c>
    </row>
    <row r="43" spans="1:3" x14ac:dyDescent="0.2">
      <c r="A43" s="2" t="s">
        <v>149</v>
      </c>
      <c r="B43" s="1">
        <v>121574.567732782</v>
      </c>
      <c r="C43" s="1">
        <v>121574.567732782</v>
      </c>
    </row>
    <row r="44" spans="1:3" x14ac:dyDescent="0.2">
      <c r="A44" s="2" t="s">
        <v>150</v>
      </c>
      <c r="B44" s="1">
        <v>1.05887651182764E-3</v>
      </c>
      <c r="C44" s="1">
        <v>1.0196329914055899E-3</v>
      </c>
    </row>
    <row r="45" spans="1:3" x14ac:dyDescent="0.2">
      <c r="A45" s="2" t="s">
        <v>151</v>
      </c>
      <c r="B45" s="1">
        <v>125574.567732782</v>
      </c>
      <c r="C45" s="1">
        <v>125574.567732782</v>
      </c>
    </row>
    <row r="46" spans="1:3" x14ac:dyDescent="0.2">
      <c r="A46" s="2" t="s">
        <v>152</v>
      </c>
      <c r="B46" s="1">
        <v>5.0588765118276396E-3</v>
      </c>
      <c r="C46" s="1">
        <v>5.01963299140559E-3</v>
      </c>
    </row>
    <row r="47" spans="1:3" x14ac:dyDescent="0.2">
      <c r="A47" s="2" t="s">
        <v>153</v>
      </c>
      <c r="B47" s="1">
        <v>9.0588765118276397E-3</v>
      </c>
      <c r="C47" s="1">
        <v>9.0196329914055892E-3</v>
      </c>
    </row>
    <row r="48" spans="1:3" x14ac:dyDescent="0.2">
      <c r="A48" s="2" t="s">
        <v>154</v>
      </c>
      <c r="B48" s="1">
        <v>1000</v>
      </c>
      <c r="C48" s="1">
        <v>1000</v>
      </c>
    </row>
    <row r="49" spans="1:3" x14ac:dyDescent="0.2">
      <c r="A49" s="2" t="s">
        <v>155</v>
      </c>
      <c r="B49" s="1">
        <v>2.9867166750094802E-6</v>
      </c>
      <c r="C49" s="1">
        <v>2.8760245635863E-6</v>
      </c>
    </row>
    <row r="50" spans="1:3" x14ac:dyDescent="0.2">
      <c r="A50" s="2" t="s">
        <v>156</v>
      </c>
      <c r="B50" s="1">
        <v>5000</v>
      </c>
      <c r="C50" s="1">
        <v>5000</v>
      </c>
    </row>
    <row r="51" spans="1:3" x14ac:dyDescent="0.2">
      <c r="A51" s="2" t="s">
        <v>157</v>
      </c>
      <c r="B51" s="1">
        <v>4.0029867166750102E-3</v>
      </c>
      <c r="C51" s="1">
        <v>4.0028760245635897E-3</v>
      </c>
    </row>
    <row r="52" spans="1:3" x14ac:dyDescent="0.2">
      <c r="A52" s="2" t="s">
        <v>158</v>
      </c>
      <c r="B52" s="1">
        <v>8.0029867166750094E-3</v>
      </c>
      <c r="C52" s="1">
        <v>8.0028760245635898E-3</v>
      </c>
    </row>
    <row r="53" spans="1:3" x14ac:dyDescent="0.2">
      <c r="A53" s="2" t="s">
        <v>16</v>
      </c>
      <c r="B53" s="1">
        <v>3.2000000000000002E-3</v>
      </c>
      <c r="C53" s="1">
        <v>3.2000000000000002E-3</v>
      </c>
    </row>
    <row r="54" spans="1:3" x14ac:dyDescent="0.2">
      <c r="A54" s="2" t="s">
        <v>17</v>
      </c>
      <c r="B54" s="1">
        <v>2.5399999999999999E-2</v>
      </c>
      <c r="C54" s="1">
        <v>2.5399999999999999E-2</v>
      </c>
    </row>
    <row r="55" spans="1:3" x14ac:dyDescent="0.2">
      <c r="A55" s="2" t="s">
        <v>100</v>
      </c>
      <c r="B55" s="1">
        <v>11500000</v>
      </c>
      <c r="C55" s="1">
        <v>11500000</v>
      </c>
    </row>
    <row r="56" spans="1:3" x14ac:dyDescent="0.2">
      <c r="A56" s="2" t="s">
        <v>101</v>
      </c>
      <c r="B56" s="1">
        <v>6</v>
      </c>
      <c r="C56" s="1">
        <v>6</v>
      </c>
    </row>
    <row r="57" spans="1:3" x14ac:dyDescent="0.2">
      <c r="A57" s="2" t="s">
        <v>18</v>
      </c>
      <c r="B57" s="1">
        <v>6</v>
      </c>
      <c r="C57" s="1">
        <v>6</v>
      </c>
    </row>
    <row r="58" spans="1:3" x14ac:dyDescent="0.2">
      <c r="A58" s="2" t="s">
        <v>102</v>
      </c>
      <c r="B58" s="1">
        <v>-35682591.826944597</v>
      </c>
      <c r="C58" s="1">
        <v>-32576070.109712899</v>
      </c>
    </row>
    <row r="59" spans="1:3" x14ac:dyDescent="0.2">
      <c r="A59" s="2" t="s">
        <v>20</v>
      </c>
      <c r="B59" s="1">
        <v>-2E-3</v>
      </c>
      <c r="C59" s="1">
        <v>-2E-3</v>
      </c>
    </row>
    <row r="60" spans="1:3" x14ac:dyDescent="0.2">
      <c r="A60" s="2" t="s">
        <v>103</v>
      </c>
      <c r="B60" s="1">
        <v>0</v>
      </c>
      <c r="C60" s="1">
        <v>0</v>
      </c>
    </row>
    <row r="61" spans="1:3" x14ac:dyDescent="0.2">
      <c r="A61" s="2" t="s">
        <v>21</v>
      </c>
      <c r="B61" s="1">
        <v>-5.4999999999999997E-3</v>
      </c>
      <c r="C61" s="1">
        <v>-5.4999999999999997E-3</v>
      </c>
    </row>
    <row r="62" spans="1:3" x14ac:dyDescent="0.2">
      <c r="A62" s="2" t="s">
        <v>19</v>
      </c>
      <c r="B62" s="1">
        <v>2.0400000000000001E-3</v>
      </c>
      <c r="C62" s="1">
        <v>2.0400000000000001E-3</v>
      </c>
    </row>
    <row r="63" spans="1:3" x14ac:dyDescent="0.2">
      <c r="A63" s="2" t="s">
        <v>104</v>
      </c>
      <c r="B63" s="1">
        <v>400000000</v>
      </c>
      <c r="C63" s="1">
        <v>400000000</v>
      </c>
    </row>
    <row r="64" spans="1:3" x14ac:dyDescent="0.2">
      <c r="A64" s="2" t="s">
        <v>105</v>
      </c>
      <c r="B64" s="1">
        <v>-8000000</v>
      </c>
      <c r="C64" s="1">
        <v>-8000000</v>
      </c>
    </row>
    <row r="65" spans="1:3" x14ac:dyDescent="0.2">
      <c r="A65" s="2" t="s">
        <v>22</v>
      </c>
      <c r="B65" s="1">
        <v>-0.05</v>
      </c>
      <c r="C65" s="1">
        <v>-0.05</v>
      </c>
    </row>
    <row r="66" spans="1:3" x14ac:dyDescent="0.2">
      <c r="A66" s="2" t="s">
        <v>106</v>
      </c>
      <c r="B66" s="1">
        <v>629418756.05639505</v>
      </c>
      <c r="C66" s="1">
        <v>269497197.92305499</v>
      </c>
    </row>
    <row r="67" spans="1:3" x14ac:dyDescent="0.2">
      <c r="A67" s="2" t="s">
        <v>107</v>
      </c>
      <c r="B67" s="1">
        <v>200000000000</v>
      </c>
      <c r="C67" s="1">
        <v>200000000000</v>
      </c>
    </row>
    <row r="68" spans="1:3" x14ac:dyDescent="0.2">
      <c r="A68" s="2" t="s">
        <v>23</v>
      </c>
      <c r="B68" s="1">
        <v>1.7999999999999999E-2</v>
      </c>
      <c r="C68" s="1">
        <v>1.7999999999999999E-2</v>
      </c>
    </row>
    <row r="69" spans="1:3" x14ac:dyDescent="0.2">
      <c r="A69" s="2" t="s">
        <v>109</v>
      </c>
      <c r="B69" s="1">
        <v>130500000</v>
      </c>
      <c r="C69" s="1">
        <v>130500000</v>
      </c>
    </row>
    <row r="70" spans="1:3" x14ac:dyDescent="0.2">
      <c r="A70" s="2" t="s">
        <v>111</v>
      </c>
      <c r="B70" s="1">
        <v>1400000000</v>
      </c>
      <c r="C70" s="1">
        <v>1400000000</v>
      </c>
    </row>
    <row r="71" spans="1:3" x14ac:dyDescent="0.2">
      <c r="A71" s="2" t="s">
        <v>112</v>
      </c>
      <c r="B71" s="1">
        <v>606000000</v>
      </c>
      <c r="C71" s="1">
        <v>606000000</v>
      </c>
    </row>
    <row r="72" spans="1:3" x14ac:dyDescent="0.2">
      <c r="A72" s="2" t="s">
        <v>113</v>
      </c>
      <c r="B72" s="1">
        <v>9000000000000</v>
      </c>
      <c r="C72" s="1">
        <v>9000000000000</v>
      </c>
    </row>
    <row r="73" spans="1:3" x14ac:dyDescent="0.2">
      <c r="A73" s="2" t="s">
        <v>110</v>
      </c>
      <c r="B73" s="1">
        <v>1E-3</v>
      </c>
      <c r="C73" s="1">
        <v>1E-3</v>
      </c>
    </row>
    <row r="74" spans="1:3" x14ac:dyDescent="0.2">
      <c r="A74" s="2" t="s">
        <v>108</v>
      </c>
      <c r="B74" s="1">
        <v>2500</v>
      </c>
      <c r="C74" s="1">
        <v>2500</v>
      </c>
    </row>
    <row r="75" spans="1:3" x14ac:dyDescent="0.2">
      <c r="A75" s="2" t="s">
        <v>159</v>
      </c>
      <c r="B75" s="1">
        <f>150*0.0254</f>
        <v>3.81</v>
      </c>
      <c r="C75" s="1">
        <f>C150*0.0254</f>
        <v>0.40639999999999998</v>
      </c>
    </row>
    <row r="76" spans="1:3" x14ac:dyDescent="0.2">
      <c r="A76" s="2" t="s">
        <v>24</v>
      </c>
      <c r="B76" s="1">
        <v>1.2355712040771899E-2</v>
      </c>
      <c r="C76" s="1">
        <v>4.5306752273147399E-2</v>
      </c>
    </row>
    <row r="77" spans="1:3" x14ac:dyDescent="0.2">
      <c r="A77" s="2" t="s">
        <v>25</v>
      </c>
      <c r="B77" s="1">
        <v>12</v>
      </c>
      <c r="C77" s="1">
        <v>12</v>
      </c>
    </row>
    <row r="78" spans="1:3" x14ac:dyDescent="0.2">
      <c r="A78" s="2" t="s">
        <v>114</v>
      </c>
      <c r="B78" s="1">
        <v>2.8580000000000001E-2</v>
      </c>
      <c r="C78" s="1">
        <v>2.8580000000000001E-2</v>
      </c>
    </row>
    <row r="79" spans="1:3" x14ac:dyDescent="0.2">
      <c r="A79" s="2" t="s">
        <v>115</v>
      </c>
      <c r="B79" s="1">
        <v>0</v>
      </c>
      <c r="C79" s="1">
        <v>0</v>
      </c>
    </row>
    <row r="80" spans="1:3" x14ac:dyDescent="0.2">
      <c r="A80" s="2" t="s">
        <v>26</v>
      </c>
      <c r="B80" s="1">
        <v>40</v>
      </c>
      <c r="C80" s="1">
        <v>40</v>
      </c>
    </row>
    <row r="81" spans="1:3" x14ac:dyDescent="0.2">
      <c r="A81" s="2" t="s">
        <v>27</v>
      </c>
      <c r="B81" s="1">
        <v>30</v>
      </c>
      <c r="C81" s="1">
        <v>30</v>
      </c>
    </row>
    <row r="82" spans="1:3" x14ac:dyDescent="0.2">
      <c r="A82" s="2" t="s">
        <v>28</v>
      </c>
      <c r="B82" s="1">
        <v>5</v>
      </c>
      <c r="C82" s="1">
        <v>5</v>
      </c>
    </row>
    <row r="83" spans="1:3" x14ac:dyDescent="0.2">
      <c r="A83" s="2" t="s">
        <v>29</v>
      </c>
      <c r="B83" s="1">
        <v>30</v>
      </c>
      <c r="C83" s="1">
        <v>30</v>
      </c>
    </row>
    <row r="84" spans="1:3" x14ac:dyDescent="0.2">
      <c r="A84" s="2" t="s">
        <v>30</v>
      </c>
      <c r="B84" s="1">
        <v>36775483</v>
      </c>
      <c r="C84" s="1">
        <v>36775483</v>
      </c>
    </row>
    <row r="85" spans="1:3" x14ac:dyDescent="0.2">
      <c r="A85" s="2" t="s">
        <v>31</v>
      </c>
      <c r="B85" s="1">
        <v>2500</v>
      </c>
      <c r="C85" s="1">
        <v>2500</v>
      </c>
    </row>
    <row r="86" spans="1:3" x14ac:dyDescent="0.2">
      <c r="A86" s="2" t="s">
        <v>116</v>
      </c>
      <c r="B86" s="1">
        <v>0.9</v>
      </c>
      <c r="C86" s="1">
        <v>0.9</v>
      </c>
    </row>
    <row r="87" spans="1:3" x14ac:dyDescent="0.2">
      <c r="A87" s="2" t="s">
        <v>117</v>
      </c>
      <c r="B87" s="1">
        <v>1</v>
      </c>
      <c r="C87" s="1">
        <v>1</v>
      </c>
    </row>
    <row r="88" spans="1:3" x14ac:dyDescent="0.2">
      <c r="A88" s="2" t="s">
        <v>118</v>
      </c>
      <c r="B88" s="1">
        <v>7.6200000000000004E-2</v>
      </c>
      <c r="C88" s="1">
        <v>7.6200000000000004E-2</v>
      </c>
    </row>
    <row r="89" spans="1:3" x14ac:dyDescent="0.2">
      <c r="A89" s="2" t="s">
        <v>119</v>
      </c>
      <c r="B89" s="1">
        <v>7.6200000000000004E-2</v>
      </c>
      <c r="C89" s="1">
        <v>7.6200000000000004E-2</v>
      </c>
    </row>
    <row r="90" spans="1:3" x14ac:dyDescent="0.2">
      <c r="A90" s="2" t="s">
        <v>32</v>
      </c>
      <c r="B90" s="1">
        <v>6</v>
      </c>
      <c r="C90" s="1">
        <v>6</v>
      </c>
    </row>
    <row r="91" spans="1:3" x14ac:dyDescent="0.2">
      <c r="A91" s="2" t="s">
        <v>33</v>
      </c>
      <c r="B91" s="1">
        <v>4</v>
      </c>
      <c r="C91" s="1">
        <v>4</v>
      </c>
    </row>
    <row r="92" spans="1:3" x14ac:dyDescent="0.2">
      <c r="A92" s="2" t="s">
        <v>34</v>
      </c>
      <c r="B92" s="1">
        <v>6</v>
      </c>
      <c r="C92" s="1">
        <v>6</v>
      </c>
    </row>
    <row r="93" spans="1:3" x14ac:dyDescent="0.2">
      <c r="A93" s="2" t="s">
        <v>120</v>
      </c>
      <c r="B93" s="1">
        <v>4.8599999999999997E-2</v>
      </c>
      <c r="C93" s="1">
        <v>4.8599999999999997E-2</v>
      </c>
    </row>
    <row r="94" spans="1:3" x14ac:dyDescent="0.2">
      <c r="A94" s="2" t="s">
        <v>121</v>
      </c>
      <c r="B94" s="1">
        <v>4.8599999999999997E-2</v>
      </c>
      <c r="C94" s="1">
        <v>4.8599999999999997E-2</v>
      </c>
    </row>
    <row r="95" spans="1:3" x14ac:dyDescent="0.2">
      <c r="A95" s="2" t="s">
        <v>122</v>
      </c>
      <c r="B95" s="1">
        <v>4.8599999999999997E-2</v>
      </c>
      <c r="C95" s="1">
        <v>4.8599999999999997E-2</v>
      </c>
    </row>
    <row r="96" spans="1:3" x14ac:dyDescent="0.2">
      <c r="A96" s="2" t="s">
        <v>35</v>
      </c>
      <c r="B96" s="1">
        <v>14</v>
      </c>
      <c r="C96" s="1">
        <v>14</v>
      </c>
    </row>
    <row r="97" spans="1:3" x14ac:dyDescent="0.2">
      <c r="A97" s="2" t="s">
        <v>36</v>
      </c>
      <c r="B97" s="1">
        <v>14</v>
      </c>
      <c r="C97" s="1">
        <v>14</v>
      </c>
    </row>
    <row r="98" spans="1:3" x14ac:dyDescent="0.2">
      <c r="A98" s="2" t="s">
        <v>37</v>
      </c>
      <c r="B98" s="1">
        <v>96775483</v>
      </c>
      <c r="C98" s="1">
        <v>96775483</v>
      </c>
    </row>
    <row r="99" spans="1:3" x14ac:dyDescent="0.2">
      <c r="A99" s="3" t="s">
        <v>123</v>
      </c>
      <c r="B99" s="1">
        <v>10</v>
      </c>
      <c r="C99" s="1">
        <v>10</v>
      </c>
    </row>
    <row r="100" spans="1:3" x14ac:dyDescent="0.2">
      <c r="A100" s="2" t="s">
        <v>124</v>
      </c>
      <c r="B100" s="1">
        <v>3000</v>
      </c>
      <c r="C100" s="1">
        <v>3000</v>
      </c>
    </row>
    <row r="101" spans="1:3" x14ac:dyDescent="0.2">
      <c r="A101" s="2" t="s">
        <v>125</v>
      </c>
      <c r="B101" s="1">
        <v>68.319772967796993</v>
      </c>
      <c r="C101" s="1">
        <v>85.995896752896499</v>
      </c>
    </row>
    <row r="102" spans="1:3" x14ac:dyDescent="0.2">
      <c r="A102" s="2" t="s">
        <v>126</v>
      </c>
      <c r="B102" s="1">
        <v>2.6580576262752902</v>
      </c>
      <c r="C102" s="1">
        <v>4.2671942732330397</v>
      </c>
    </row>
    <row r="103" spans="1:3" x14ac:dyDescent="0.2">
      <c r="A103" s="2" t="s">
        <v>38</v>
      </c>
      <c r="B103" s="1">
        <v>3</v>
      </c>
      <c r="C103" s="1">
        <v>3</v>
      </c>
    </row>
    <row r="104" spans="1:3" x14ac:dyDescent="0.2">
      <c r="A104" s="2" t="s">
        <v>127</v>
      </c>
      <c r="B104" s="1">
        <v>1.5</v>
      </c>
      <c r="C104" s="1">
        <v>1.5</v>
      </c>
    </row>
    <row r="105" spans="1:3" x14ac:dyDescent="0.2">
      <c r="A105" s="2" t="s">
        <v>39</v>
      </c>
      <c r="B105" s="1">
        <v>1</v>
      </c>
      <c r="C105" s="1">
        <v>0</v>
      </c>
    </row>
    <row r="106" spans="1:3" x14ac:dyDescent="0.2">
      <c r="A106" s="2" t="s">
        <v>40</v>
      </c>
      <c r="B106" s="1">
        <f>B107+B172</f>
        <v>0.71120000000000005</v>
      </c>
      <c r="C106" s="1">
        <f t="shared" ref="C106:E106" si="7">C107+C172</f>
        <v>0.71120000000000005</v>
      </c>
    </row>
    <row r="107" spans="1:3" x14ac:dyDescent="0.2">
      <c r="A107" s="2" t="s">
        <v>41</v>
      </c>
      <c r="B107" s="1">
        <f>IF(B13&lt;=14,0.7112,IF(B13&gt;=18,1.143,0.9144))</f>
        <v>0.71120000000000005</v>
      </c>
      <c r="C107" s="1">
        <f t="shared" ref="C107:E107" si="8">IF(C13&lt;=14,0.7112,IF(C13&gt;=18,1.143,0.9144))</f>
        <v>0.71120000000000005</v>
      </c>
    </row>
    <row r="108" spans="1:3" x14ac:dyDescent="0.2">
      <c r="A108" s="2" t="s">
        <v>128</v>
      </c>
      <c r="B108" s="1">
        <v>0.01</v>
      </c>
      <c r="C108" s="1">
        <v>0.01</v>
      </c>
    </row>
    <row r="109" spans="1:3" ht="42" x14ac:dyDescent="0.2">
      <c r="A109" s="4" t="s">
        <v>163</v>
      </c>
      <c r="B109" s="1">
        <f>IF(B6=7,0.05,0.024)</f>
        <v>0.05</v>
      </c>
      <c r="C109" s="1">
        <f t="shared" ref="C109:BN109" si="9">IF(C6=7,0.05,0.024)</f>
        <v>0.05</v>
      </c>
    </row>
    <row r="110" spans="1:3" x14ac:dyDescent="0.2">
      <c r="A110" s="2" t="s">
        <v>42</v>
      </c>
      <c r="B110" s="1">
        <v>15</v>
      </c>
      <c r="C110" s="1">
        <v>15</v>
      </c>
    </row>
    <row r="111" spans="1:3" x14ac:dyDescent="0.2">
      <c r="A111" s="2" t="s">
        <v>43</v>
      </c>
      <c r="B111" s="1">
        <v>25</v>
      </c>
      <c r="C111" s="1">
        <v>25</v>
      </c>
    </row>
    <row r="112" spans="1:3" x14ac:dyDescent="0.2">
      <c r="A112" s="2" t="s">
        <v>44</v>
      </c>
      <c r="B112" s="1">
        <v>15</v>
      </c>
      <c r="C112" s="1">
        <v>15</v>
      </c>
    </row>
    <row r="113" spans="1:3" x14ac:dyDescent="0.2">
      <c r="A113" s="2" t="s">
        <v>45</v>
      </c>
      <c r="B113" s="1">
        <v>0</v>
      </c>
      <c r="C113" s="1">
        <v>0</v>
      </c>
    </row>
    <row r="114" spans="1:3" x14ac:dyDescent="0.2">
      <c r="A114" s="2" t="s">
        <v>46</v>
      </c>
      <c r="B114" s="1">
        <v>100</v>
      </c>
      <c r="C114" s="1">
        <v>100</v>
      </c>
    </row>
    <row r="115" spans="1:3" x14ac:dyDescent="0.2">
      <c r="A115" s="2" t="s">
        <v>47</v>
      </c>
      <c r="B115" s="1">
        <v>-1</v>
      </c>
      <c r="C115" s="1">
        <v>-1</v>
      </c>
    </row>
    <row r="116" spans="1:3" x14ac:dyDescent="0.2">
      <c r="A116" s="2" t="s">
        <v>48</v>
      </c>
      <c r="B116" s="1">
        <v>-50</v>
      </c>
      <c r="C116" s="1">
        <v>-50</v>
      </c>
    </row>
    <row r="117" spans="1:3" x14ac:dyDescent="0.2">
      <c r="A117" s="2" t="s">
        <v>49</v>
      </c>
      <c r="B117" s="1">
        <v>50</v>
      </c>
      <c r="C117" s="1">
        <v>50</v>
      </c>
    </row>
    <row r="118" spans="1:3" x14ac:dyDescent="0.2">
      <c r="A118" s="2" t="s">
        <v>50</v>
      </c>
      <c r="B118" s="1">
        <v>-50</v>
      </c>
      <c r="C118" s="1">
        <v>-50</v>
      </c>
    </row>
    <row r="119" spans="1:3" x14ac:dyDescent="0.2">
      <c r="A119" s="2" t="s">
        <v>51</v>
      </c>
      <c r="B119" s="1">
        <v>50</v>
      </c>
      <c r="C119" s="1">
        <v>50</v>
      </c>
    </row>
    <row r="120" spans="1:3" x14ac:dyDescent="0.2">
      <c r="A120" s="2" t="s">
        <v>52</v>
      </c>
      <c r="B120" s="1">
        <v>1</v>
      </c>
      <c r="C120" s="1">
        <v>1</v>
      </c>
    </row>
    <row r="121" spans="1:3" x14ac:dyDescent="0.2">
      <c r="A121" s="2" t="s">
        <v>53</v>
      </c>
      <c r="B121" s="1">
        <v>2</v>
      </c>
      <c r="C121" s="1">
        <v>2</v>
      </c>
    </row>
    <row r="122" spans="1:3" x14ac:dyDescent="0.2">
      <c r="A122" s="2" t="s">
        <v>54</v>
      </c>
      <c r="B122" s="1">
        <v>300</v>
      </c>
      <c r="C122" s="1">
        <v>300</v>
      </c>
    </row>
    <row r="123" spans="1:3" x14ac:dyDescent="0.2">
      <c r="A123" s="2" t="s">
        <v>55</v>
      </c>
      <c r="B123" s="1" t="s">
        <v>131</v>
      </c>
      <c r="C123" s="1" t="s">
        <v>131</v>
      </c>
    </row>
    <row r="124" spans="1:3" x14ac:dyDescent="0.2">
      <c r="A124" s="2" t="s">
        <v>56</v>
      </c>
      <c r="B124" s="1" t="s">
        <v>130</v>
      </c>
      <c r="C124" s="1" t="s">
        <v>130</v>
      </c>
    </row>
    <row r="125" spans="1:3" x14ac:dyDescent="0.2">
      <c r="A125" s="2" t="s">
        <v>57</v>
      </c>
      <c r="B125" s="1">
        <v>1000000000000</v>
      </c>
      <c r="C125" s="1">
        <v>1000000000000</v>
      </c>
    </row>
    <row r="126" spans="1:3" x14ac:dyDescent="0.2">
      <c r="A126" s="2" t="s">
        <v>58</v>
      </c>
      <c r="B126" s="1">
        <v>1000000000000</v>
      </c>
      <c r="C126" s="1">
        <v>1000000000000</v>
      </c>
    </row>
    <row r="127" spans="1:3" x14ac:dyDescent="0.2">
      <c r="A127" s="2" t="s">
        <v>59</v>
      </c>
      <c r="B127" s="1" t="s">
        <v>137</v>
      </c>
      <c r="C127" s="1" t="s">
        <v>137</v>
      </c>
    </row>
    <row r="128" spans="1:3" x14ac:dyDescent="0.2">
      <c r="A128" s="2" t="s">
        <v>60</v>
      </c>
      <c r="B128" s="1" t="s">
        <v>136</v>
      </c>
      <c r="C128" s="1" t="s">
        <v>136</v>
      </c>
    </row>
    <row r="129" spans="1:3" x14ac:dyDescent="0.2">
      <c r="A129" s="2" t="s">
        <v>61</v>
      </c>
      <c r="B129" s="1">
        <v>5.0000000000000001E-3</v>
      </c>
      <c r="C129" s="1">
        <v>5.0000000000000001E-3</v>
      </c>
    </row>
    <row r="130" spans="1:3" x14ac:dyDescent="0.2">
      <c r="A130" s="2" t="s">
        <v>62</v>
      </c>
      <c r="B130" s="1">
        <v>5000</v>
      </c>
      <c r="C130" s="1">
        <v>5000</v>
      </c>
    </row>
    <row r="131" spans="1:3" x14ac:dyDescent="0.2">
      <c r="A131" s="2" t="s">
        <v>63</v>
      </c>
      <c r="B131" s="1" t="s">
        <v>132</v>
      </c>
      <c r="C131" s="1" t="s">
        <v>132</v>
      </c>
    </row>
    <row r="132" spans="1:3" x14ac:dyDescent="0.2">
      <c r="A132" s="2" t="s">
        <v>64</v>
      </c>
      <c r="B132" s="1">
        <v>5.0000000000000001E-3</v>
      </c>
      <c r="C132" s="1">
        <v>5.0000000000000001E-3</v>
      </c>
    </row>
    <row r="133" spans="1:3" x14ac:dyDescent="0.2">
      <c r="A133" s="2" t="s">
        <v>65</v>
      </c>
      <c r="B133" s="1">
        <v>3</v>
      </c>
      <c r="C133" s="1">
        <v>3</v>
      </c>
    </row>
    <row r="134" spans="1:3" x14ac:dyDescent="0.2">
      <c r="A134" s="2" t="s">
        <v>66</v>
      </c>
      <c r="B134" s="1">
        <v>0.05</v>
      </c>
      <c r="C134" s="1">
        <v>0.05</v>
      </c>
    </row>
    <row r="135" spans="1:3" x14ac:dyDescent="0.2">
      <c r="A135" s="2" t="s">
        <v>67</v>
      </c>
      <c r="B135" s="1" t="s">
        <v>133</v>
      </c>
      <c r="C135" s="1" t="s">
        <v>133</v>
      </c>
    </row>
    <row r="136" spans="1:3" x14ac:dyDescent="0.2">
      <c r="A136" s="2" t="s">
        <v>68</v>
      </c>
      <c r="B136" s="1">
        <v>1E-3</v>
      </c>
      <c r="C136" s="1">
        <v>1E-3</v>
      </c>
    </row>
    <row r="137" spans="1:3" x14ac:dyDescent="0.2">
      <c r="A137" s="2" t="s">
        <v>69</v>
      </c>
      <c r="B137" s="1">
        <v>1000</v>
      </c>
      <c r="C137" s="1">
        <v>1000</v>
      </c>
    </row>
    <row r="138" spans="1:3" x14ac:dyDescent="0.2">
      <c r="A138" s="2" t="s">
        <v>70</v>
      </c>
      <c r="B138" s="1" t="s">
        <v>129</v>
      </c>
      <c r="C138" s="1" t="s">
        <v>129</v>
      </c>
    </row>
    <row r="139" spans="1:3" x14ac:dyDescent="0.2">
      <c r="A139" s="2" t="s">
        <v>71</v>
      </c>
      <c r="B139" s="1" t="s">
        <v>135</v>
      </c>
      <c r="C139" s="1" t="s">
        <v>135</v>
      </c>
    </row>
    <row r="140" spans="1:3" x14ac:dyDescent="0.2">
      <c r="A140" s="2" t="s">
        <v>72</v>
      </c>
      <c r="B140" s="1">
        <v>0.01</v>
      </c>
      <c r="C140" s="1">
        <v>0.01</v>
      </c>
    </row>
    <row r="141" spans="1:3" ht="24.75" customHeight="1" x14ac:dyDescent="0.2">
      <c r="A141" s="2" t="s">
        <v>73</v>
      </c>
      <c r="B141" s="1" t="s">
        <v>134</v>
      </c>
      <c r="C141" s="1" t="s">
        <v>134</v>
      </c>
    </row>
    <row r="142" spans="1:3" x14ac:dyDescent="0.2">
      <c r="A142" s="2" t="s">
        <v>74</v>
      </c>
      <c r="B142" s="1">
        <v>10</v>
      </c>
      <c r="C142" s="1">
        <v>10</v>
      </c>
    </row>
    <row r="143" spans="1:3" x14ac:dyDescent="0.2">
      <c r="A143" s="2" t="s">
        <v>138</v>
      </c>
      <c r="B143" s="1">
        <v>2</v>
      </c>
      <c r="C143" s="1">
        <v>2</v>
      </c>
    </row>
    <row r="144" spans="1:3" x14ac:dyDescent="0.2">
      <c r="A144" s="2" t="s">
        <v>139</v>
      </c>
      <c r="B144" s="1">
        <v>200000000000</v>
      </c>
      <c r="C144" s="1">
        <v>200000000000</v>
      </c>
    </row>
    <row r="145" spans="1:3" x14ac:dyDescent="0.2">
      <c r="A145" s="2" t="s">
        <v>140</v>
      </c>
      <c r="B145" s="1">
        <v>1660000000</v>
      </c>
      <c r="C145" s="1">
        <v>1660000000</v>
      </c>
    </row>
    <row r="146" spans="1:3" x14ac:dyDescent="0.2">
      <c r="A146" s="2" t="s">
        <v>141</v>
      </c>
      <c r="B146" s="1">
        <v>1.7999999999999999E-2</v>
      </c>
      <c r="C146" s="1">
        <v>1.7999999999999999E-2</v>
      </c>
    </row>
    <row r="147" spans="1:3" x14ac:dyDescent="0.2">
      <c r="A147" s="2" t="s">
        <v>142</v>
      </c>
      <c r="B147" s="1">
        <v>5.2350000000000001E-3</v>
      </c>
      <c r="C147" s="1">
        <v>5.2350000000000001E-3</v>
      </c>
    </row>
    <row r="148" spans="1:3" x14ac:dyDescent="0.2">
      <c r="A148" s="2" t="s">
        <v>143</v>
      </c>
      <c r="B148" s="1">
        <f>B171</f>
        <v>0</v>
      </c>
      <c r="C148" s="1">
        <f t="shared" ref="C148:BN148" si="10">C171</f>
        <v>0</v>
      </c>
    </row>
    <row r="149" spans="1:3" x14ac:dyDescent="0.2">
      <c r="A149" s="2" t="s">
        <v>143</v>
      </c>
      <c r="B149" s="1">
        <f>B171</f>
        <v>0</v>
      </c>
      <c r="C149" s="1">
        <f t="shared" ref="C149:BN149" si="11">C171</f>
        <v>0</v>
      </c>
    </row>
    <row r="150" spans="1:3" x14ac:dyDescent="0.2">
      <c r="A150" s="2" t="s">
        <v>160</v>
      </c>
      <c r="B150" s="1">
        <v>14</v>
      </c>
      <c r="C150" s="1">
        <v>16</v>
      </c>
    </row>
    <row r="151" spans="1:3" x14ac:dyDescent="0.2">
      <c r="A151" s="2" t="s">
        <v>144</v>
      </c>
      <c r="B151" s="1">
        <v>0.3</v>
      </c>
      <c r="C151" s="1">
        <v>0.3</v>
      </c>
    </row>
    <row r="152" spans="1:3" x14ac:dyDescent="0.2">
      <c r="A152" s="2" t="s">
        <v>145</v>
      </c>
      <c r="B152" s="1">
        <v>0.3</v>
      </c>
      <c r="C152" s="1">
        <v>0.3</v>
      </c>
    </row>
    <row r="153" spans="1:3" x14ac:dyDescent="0.2">
      <c r="A153" s="2" t="s">
        <v>147</v>
      </c>
      <c r="B153" s="1">
        <v>52</v>
      </c>
      <c r="C153" s="1">
        <v>52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6"/>
  <sheetViews>
    <sheetView workbookViewId="0">
      <selection activeCell="B7" sqref="B7"/>
    </sheetView>
  </sheetViews>
  <sheetFormatPr baseColWidth="10" defaultColWidth="8.83203125" defaultRowHeight="15" x14ac:dyDescent="0.2"/>
  <cols>
    <col min="2" max="2" width="27.83203125" customWidth="1"/>
  </cols>
  <sheetData>
    <row r="1" spans="1:2" x14ac:dyDescent="0.2">
      <c r="A1" t="s">
        <v>161</v>
      </c>
      <c r="B1" t="s">
        <v>162</v>
      </c>
    </row>
    <row r="2" spans="1:2" x14ac:dyDescent="0.2">
      <c r="A2">
        <v>12</v>
      </c>
      <c r="B2">
        <v>602235</v>
      </c>
    </row>
    <row r="3" spans="1:2" x14ac:dyDescent="0.2">
      <c r="A3">
        <v>14</v>
      </c>
      <c r="B3">
        <v>903486</v>
      </c>
    </row>
    <row r="4" spans="1:2" x14ac:dyDescent="0.2">
      <c r="A4">
        <v>16</v>
      </c>
      <c r="B4">
        <v>903486</v>
      </c>
    </row>
    <row r="5" spans="1:2" x14ac:dyDescent="0.2">
      <c r="A5">
        <v>18</v>
      </c>
      <c r="B5">
        <v>903486</v>
      </c>
    </row>
    <row r="6" spans="1:2" x14ac:dyDescent="0.2">
      <c r="A6">
        <v>20</v>
      </c>
      <c r="B6">
        <v>1204631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2017-08-04T18:04:14Z</dcterms:modified>
</cp:coreProperties>
</file>